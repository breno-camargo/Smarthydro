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umo e Rateio" sheetId="1" state="visible" r:id="rId1"/>
  </sheets>
  <definedNames>
    <definedName name="_xlnm._FilterDatabase" localSheetId="0" hidden="1">'Consumo e Rateio'!$A$7:$G$8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#,##0.00 &quot;m³&quot;"/>
    <numFmt numFmtId="166" formatCode="#,##0.00 &quot;m³/sala&quot;"/>
  </numFmts>
  <fonts count="10">
    <font>
      <name val="Calibri"/>
      <family val="2"/>
      <color theme="1"/>
      <sz val="11"/>
      <scheme val="minor"/>
    </font>
    <font>
      <name val="Segoe UI"/>
      <b val="1"/>
      <color rgb="001E3A16"/>
      <sz val="15"/>
    </font>
    <font>
      <name val="Segoe UI"/>
      <color rgb="0064748B"/>
      <sz val="9"/>
    </font>
    <font>
      <name val="Segoe UI"/>
      <b val="1"/>
      <color rgb="0064748B"/>
      <sz val="8"/>
    </font>
    <font>
      <name val="Segoe UI"/>
      <b val="1"/>
      <color rgb="001E293B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1E3A16"/>
      <sz val="10"/>
    </font>
    <font>
      <name val="Segoe UI"/>
      <b val="1"/>
      <color rgb="001E3A16"/>
      <sz val="12"/>
    </font>
    <font>
      <name val="Segoe UI"/>
      <i val="1"/>
      <color rgb="0064748B"/>
      <sz val="8"/>
    </font>
  </fonts>
  <fills count="6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8FAF6"/>
        <bgColor rgb="00F8FAF6"/>
      </patternFill>
    </fill>
    <fill>
      <patternFill patternType="solid">
        <fgColor rgb="001E3A16"/>
        <bgColor rgb="001E3A16"/>
      </patternFill>
    </fill>
    <fill>
      <patternFill patternType="solid">
        <fgColor rgb="008CC63F"/>
        <bgColor rgb="008CC63F"/>
      </patternFill>
    </fill>
  </fills>
  <borders count="5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medium">
        <color rgb="008CC63F"/>
      </bottom>
    </border>
    <border>
      <top style="thin">
        <color rgb="00E2E8F0"/>
      </top>
      <bottom style="thin">
        <color rgb="00E2E8F0"/>
      </bottom>
    </border>
    <border>
      <top style="thin">
        <color rgb="001E3A16"/>
      </top>
      <bottom style="double">
        <color rgb="001E3A1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top" indent="1"/>
    </xf>
    <xf numFmtId="0" fontId="3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0" fillId="3" borderId="0" pivotButton="0" quotePrefix="0" xfId="0"/>
    <xf numFmtId="164" fontId="4" fillId="3" borderId="1" applyAlignment="1" pivotButton="0" quotePrefix="0" xfId="0">
      <alignment horizontal="left" vertical="center"/>
    </xf>
    <xf numFmtId="0" fontId="5" fillId="4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4" fontId="6" fillId="2" borderId="3" applyAlignment="1" pivotButton="0" quotePrefix="0" xfId="0">
      <alignment horizontal="right" vertical="center"/>
    </xf>
    <xf numFmtId="164" fontId="6" fillId="2" borderId="3" applyAlignment="1" pivotButton="0" quotePrefix="0" xfId="0">
      <alignment horizontal="right" vertical="center"/>
    </xf>
    <xf numFmtId="0" fontId="7" fillId="3" borderId="4" applyAlignment="1" pivotButton="0" quotePrefix="0" xfId="0">
      <alignment horizontal="left" vertical="center"/>
    </xf>
    <xf numFmtId="4" fontId="7" fillId="3" borderId="4" applyAlignment="1" pivotButton="0" quotePrefix="0" xfId="0">
      <alignment horizontal="right" vertical="center"/>
    </xf>
    <xf numFmtId="164" fontId="7" fillId="3" borderId="4" applyAlignment="1" pivotButton="0" quotePrefix="0" xfId="0">
      <alignment horizontal="right" vertical="center"/>
    </xf>
    <xf numFmtId="0" fontId="0" fillId="5" borderId="0" pivotButton="0" quotePrefix="0" xfId="0"/>
    <xf numFmtId="0" fontId="3" fillId="3" borderId="0" applyAlignment="1" pivotButton="0" quotePrefix="0" xfId="0">
      <alignment horizontal="left" vertical="center"/>
    </xf>
    <xf numFmtId="165" fontId="8" fillId="3" borderId="0" applyAlignment="1" pivotButton="0" quotePrefix="0" xfId="0">
      <alignment horizontal="left" vertical="center"/>
    </xf>
    <xf numFmtId="164" fontId="8" fillId="3" borderId="0" applyAlignment="1" pivotButton="0" quotePrefix="0" xfId="0">
      <alignment horizontal="left" vertical="center"/>
    </xf>
    <xf numFmtId="166" fontId="8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14859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6B24"/>
    <outlinePr summaryBelow="1" summaryRight="1"/>
    <pageSetUpPr fitToPage="1"/>
  </sheetPr>
  <dimension ref="A1:G1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6" customHeight="1">
      <c r="A1" s="1" t="inlineStr">
        <is>
          <t>HIDRÔMETROS — PRAÇA PAMPLONA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Consumo de Água e Rateio por Sala  •  Sistema StruxureWare EBO</t>
        </is>
      </c>
    </row>
    <row r="3" ht="6" customHeight="1"/>
    <row r="4" ht="22" customHeight="1">
      <c r="A4" s="4" t="inlineStr">
        <is>
          <t>Período:</t>
        </is>
      </c>
      <c r="B4" s="5" t="inlineStr">
        <is>
          <t>29/07/2026  a  28/08/2026</t>
        </is>
      </c>
      <c r="C4" s="6" t="n"/>
      <c r="D4" s="4" t="inlineStr">
        <is>
          <t>Data Emissão:</t>
        </is>
      </c>
      <c r="E4" s="5" t="inlineStr">
        <is>
          <t>19/09/2026 15:46</t>
        </is>
      </c>
      <c r="F4" s="6" t="n"/>
      <c r="G4" s="6" t="n"/>
    </row>
    <row r="5" ht="22" customHeight="1">
      <c r="A5" s="4" t="inlineStr">
        <is>
          <t>Valor do m³:</t>
        </is>
      </c>
      <c r="B5" s="7" t="n">
        <v>63.68</v>
      </c>
      <c r="C5" s="6" t="n"/>
      <c r="D5" s="4" t="inlineStr">
        <is>
          <t>Registros:</t>
        </is>
      </c>
      <c r="E5" s="5" t="inlineStr">
        <is>
          <t>1 salas/medidores</t>
        </is>
      </c>
      <c r="F5" s="6" t="n"/>
      <c r="G5" s="6" t="n"/>
    </row>
    <row r="6" ht="6" customHeight="1"/>
    <row r="7" ht="30" customHeight="1">
      <c r="A7" s="8" t="inlineStr">
        <is>
          <t>Sala / Usuário</t>
        </is>
      </c>
      <c r="B7" s="8" t="inlineStr">
        <is>
          <t>Consumo
(m³)</t>
        </is>
      </c>
      <c r="C7" s="8" t="inlineStr">
        <is>
          <t>Valor
(R$)</t>
        </is>
      </c>
      <c r="D7" s="8" t="inlineStr">
        <is>
          <t>Consumo Total
11 meses (m³)</t>
        </is>
      </c>
      <c r="E7" s="8" t="inlineStr">
        <is>
          <t>Valor Total
11 meses (R$)</t>
        </is>
      </c>
      <c r="F7" s="8" t="inlineStr">
        <is>
          <t>Consumo Médio
11 meses (m³)</t>
        </is>
      </c>
      <c r="G7" s="8" t="inlineStr">
        <is>
          <t>Valor Médio
11 meses (R$)</t>
        </is>
      </c>
    </row>
    <row r="8" ht="21" customHeight="1">
      <c r="A8" s="9" t="inlineStr">
        <is>
          <t>Exemplo Sala 101</t>
        </is>
      </c>
      <c r="B8" s="10" t="n">
        <v>10.5</v>
      </c>
      <c r="C8" s="11" t="n">
        <v>668.64</v>
      </c>
      <c r="D8" s="10" t="n">
        <v>115.5</v>
      </c>
      <c r="E8" s="11" t="n">
        <v>7355.04</v>
      </c>
      <c r="F8" s="10" t="n">
        <v>10.5</v>
      </c>
      <c r="G8" s="11" t="n">
        <v>668.64</v>
      </c>
    </row>
    <row r="9" ht="26" customHeight="1">
      <c r="A9" s="12" t="inlineStr">
        <is>
          <t>TOTAL GERAL</t>
        </is>
      </c>
      <c r="B9" s="13">
        <f>SUM(B8:B8)</f>
        <v/>
      </c>
      <c r="C9" s="14">
        <f>SUM(C8:C8)</f>
        <v/>
      </c>
      <c r="D9" s="13">
        <f>SUM(D8:D8)</f>
        <v/>
      </c>
      <c r="E9" s="14">
        <f>SUM(E8:E8)</f>
        <v/>
      </c>
      <c r="F9" s="13">
        <f>SUM(F8:F8)</f>
        <v/>
      </c>
      <c r="G9" s="14">
        <f>SUM(G8:G8)</f>
        <v/>
      </c>
    </row>
    <row r="11" ht="4" customHeight="1">
      <c r="A11" s="15" t="n"/>
      <c r="B11" s="15" t="n"/>
      <c r="C11" s="15" t="n"/>
      <c r="D11" s="15" t="n"/>
      <c r="E11" s="15" t="n"/>
      <c r="F11" s="15" t="n"/>
      <c r="G11" s="15" t="n"/>
    </row>
    <row r="12" ht="34" customHeight="1">
      <c r="A12" s="16" t="inlineStr">
        <is>
          <t>Consumo Total</t>
        </is>
      </c>
      <c r="B12" s="6" t="n"/>
      <c r="C12" s="16" t="inlineStr">
        <is>
          <t>Valor Total</t>
        </is>
      </c>
      <c r="D12" s="6" t="n"/>
      <c r="E12" s="16" t="inlineStr">
        <is>
          <t>Média por Sala</t>
        </is>
      </c>
      <c r="F12" s="6" t="n"/>
      <c r="G12" s="6" t="n"/>
    </row>
    <row r="13" ht="28" customHeight="1">
      <c r="A13" s="17">
        <f>B9</f>
        <v/>
      </c>
      <c r="B13" s="6" t="n"/>
      <c r="C13" s="18">
        <f>C9</f>
        <v/>
      </c>
      <c r="D13" s="6" t="n"/>
      <c r="E13" s="19">
        <f>IF(B9=0,0,B9/1)</f>
        <v/>
      </c>
      <c r="F13" s="6" t="n"/>
      <c r="G13" s="6" t="n"/>
    </row>
    <row r="15">
      <c r="A15" s="20" t="inlineStr">
        <is>
          <t>Relatório gerado automaticamente em 19/09/2026 às 15:46  •  Fonte: StruxureWare EBO  •  Condomínio Praça Pamplona  •  CompaSSS</t>
        </is>
      </c>
    </row>
  </sheetData>
  <autoFilter ref="A7:G8"/>
  <mergeCells count="3">
    <mergeCell ref="A2:G2"/>
    <mergeCell ref="A1:G1"/>
    <mergeCell ref="A15:G15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2026-09-19T18:46:49Z</dcterms:created>
  <dcterms:modified xsi:type="dcterms:W3CDTF">2026-09-19T18:46:49Z</dcterms:modified>
</cp:coreProperties>
</file>